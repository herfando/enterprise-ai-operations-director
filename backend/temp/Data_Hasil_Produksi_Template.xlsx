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roduk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<sst xmlns="http://schemas.openxmlformats.org/spreadsheetml/2006/main" count="139" uniqueCount="61">
  <si>
    <t xml:space="preserve">DATA HASIL PRODUKSI</t>
  </si>
  <si>
    <t xml:space="preserve">Department: Produksi  |  Fill in the yellow/green/orange cells following the sample rows below. Do not modify the header row.  |  1 Mesin = 1 Operator/Shift/Group tetap, mesin hanya jalan di jam shift-nya sendiri (8 jam/hari): Shift 1 07:00-15:00, Shift 2 15:00-23:00, Shift 3 23:00-07:00. Asumsi kapasitas: Blow Molding ±5.000 pcs/jam, Injection Molding ±6.875 pcs/jam (dummy, sesuaikan dengan kapasitas riil mesin kamu). 'Total Downtime' = asumsi menit mesin berhenti (breakdown/ganti mold/dll) selama window produksi tersebut.  |  'Hasil Produksi Total' &amp; 'Status Target' otomatis.</t>
  </si>
  <si>
    <t xml:space="preserve">No</t>
  </si>
  <si>
    <t xml:space="preserve">Mulai Produksi (Tgl &amp; Jam)</t>
  </si>
  <si>
    <t xml:space="preserve">Selesai Produksi (Tgl &amp; Jam)</t>
  </si>
  <si>
    <t xml:space="preserve">Mesin</t>
  </si>
  <si>
    <t xml:space="preserve">Nama Product</t>
  </si>
  <si>
    <t xml:space="preserve">Total Planning (pcs)</t>
  </si>
  <si>
    <t xml:space="preserve">Hasil Produksi Total (pcs)</t>
  </si>
  <si>
    <t xml:space="preserve">Hasil Produksi OK (pcs)</t>
  </si>
  <si>
    <t xml:space="preserve">Hasil Produksi Reject (pcs)</t>
  </si>
  <si>
    <t xml:space="preserve">Total Downtime (menit)</t>
  </si>
  <si>
    <t xml:space="preserve">Nama Bahan</t>
  </si>
  <si>
    <t xml:space="preserve">Jumlah Bahan (kg)</t>
  </si>
  <si>
    <t xml:space="preserve">Sisa Bahan (kg)</t>
  </si>
  <si>
    <t xml:space="preserve">Nama Operator</t>
  </si>
  <si>
    <t xml:space="preserve">Shift Operator</t>
  </si>
  <si>
    <t xml:space="preserve">Group Operator</t>
  </si>
  <si>
    <t xml:space="preserve">Status Target</t>
  </si>
  <si>
    <t xml:space="preserve">Blow Molding Machine 01</t>
  </si>
  <si>
    <t xml:space="preserve">AquaFresh PET Bottle 330ml</t>
  </si>
  <si>
    <t xml:space="preserve">PET Resin</t>
  </si>
  <si>
    <t xml:space="preserve">Ahmad Fauzi</t>
  </si>
  <si>
    <t xml:space="preserve">Shift 1</t>
  </si>
  <si>
    <t xml:space="preserve">Group A</t>
  </si>
  <si>
    <t xml:space="preserve">Blow Molding Machine 02</t>
  </si>
  <si>
    <t xml:space="preserve">AquaFresh PET Bottle 600ml</t>
  </si>
  <si>
    <t xml:space="preserve">Dedi Kurniawan</t>
  </si>
  <si>
    <t xml:space="preserve">Shift 2</t>
  </si>
  <si>
    <t xml:space="preserve">Group B</t>
  </si>
  <si>
    <t xml:space="preserve">Injection Molding Machine 01</t>
  </si>
  <si>
    <t xml:space="preserve">CrystalPlast PP Cup 220ml</t>
  </si>
  <si>
    <t xml:space="preserve">PP Resin</t>
  </si>
  <si>
    <t xml:space="preserve">Siti Aminah</t>
  </si>
  <si>
    <t xml:space="preserve">Injection Molding Machine 02</t>
  </si>
  <si>
    <t xml:space="preserve">CrystalPlast PP Cup 240ml</t>
  </si>
  <si>
    <t xml:space="preserve">Yuni Lestari</t>
  </si>
  <si>
    <t xml:space="preserve">Blow Molding Machine 03</t>
  </si>
  <si>
    <t xml:space="preserve">ClearLine PET Bottle 1500ml</t>
  </si>
  <si>
    <t xml:space="preserve">Bambang Santoso</t>
  </si>
  <si>
    <t xml:space="preserve">Shift 3</t>
  </si>
  <si>
    <t xml:space="preserve">Group C</t>
  </si>
  <si>
    <t xml:space="preserve">Injection Molding Machine 03</t>
  </si>
  <si>
    <t xml:space="preserve">ProCup PP Cup 180ml</t>
  </si>
  <si>
    <t xml:space="preserve">Rudi Hartono</t>
  </si>
  <si>
    <t xml:space="preserve">Injection Molding Machine 04</t>
  </si>
  <si>
    <t xml:space="preserve">ProCup PP Cup 250ml</t>
  </si>
  <si>
    <t xml:space="preserve">Dewi Puspita</t>
  </si>
  <si>
    <t xml:space="preserve">NewLine PP Cup 200ml Sealed</t>
  </si>
  <si>
    <t xml:space="preserve">ClearLine PET Bottle 330ml</t>
  </si>
  <si>
    <t xml:space="preserve">AquaFresh PET Bottle 1500ml</t>
  </si>
  <si>
    <t xml:space="preserve">PolyPack PP Cup 200ml</t>
  </si>
  <si>
    <t xml:space="preserve">PolyPack PP Cup 300ml</t>
  </si>
  <si>
    <t xml:space="preserve">EcoCup PP Cup 220ml Biodegradable</t>
  </si>
  <si>
    <t xml:space="preserve">TransParent PET Bottle 500ml</t>
  </si>
  <si>
    <t xml:space="preserve">TransParent PET Bottle 750ml</t>
  </si>
  <si>
    <t xml:space="preserve">FreshSeal PP Cup 250ml Sealed</t>
  </si>
  <si>
    <t xml:space="preserve">PureBottle PET Bottle 330ml</t>
  </si>
  <si>
    <t xml:space="preserve">PureBottle PET Bottle 600ml</t>
  </si>
  <si>
    <t xml:space="preserve">AquaFresh PET Bottle 220ml</t>
  </si>
  <si>
    <t xml:space="preserve">CrystalPlast PP Cup 350ml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</si>
</sst>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#,##0"/>
    <numFmt numFmtId="167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FCE5CD"/>
      </patternFill>
    </fill>
    <fill>
      <patternFill patternType="solid">
        <fgColor rgb="FFFCE5C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9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8"/>
    <col collapsed="false" customWidth="true" hidden="false" outlineLevel="0" max="16" min="15" style="0" width="13"/>
    <col collapsed="false" customWidth="true" hidden="false" outlineLevel="0" max="17" min="17" style="0" width="15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24" hidden="false" customHeight="true" outlineLevel="0" collapsed="false">
      <c r="A5" s="4" t="n">
        <v>1</v>
      </c>
      <c r="B5" s="5" t="n">
        <v>46235.2916666667</v>
      </c>
      <c r="C5" s="5" t="n">
        <v>46247.5</v>
      </c>
      <c r="D5" s="6" t="s">
        <v>19</v>
      </c>
      <c r="E5" s="6" t="s">
        <v>20</v>
      </c>
      <c r="F5" s="7" t="n">
        <v>500000</v>
      </c>
      <c r="G5" s="7" t="n">
        <f aca="false">H5+I5</f>
        <v>505050</v>
      </c>
      <c r="H5" s="7" t="n">
        <v>500000</v>
      </c>
      <c r="I5" s="7" t="n">
        <v>5050</v>
      </c>
      <c r="J5" s="7" t="n">
        <v>264</v>
      </c>
      <c r="K5" s="6" t="s">
        <v>21</v>
      </c>
      <c r="L5" s="8" t="n">
        <v>9500</v>
      </c>
      <c r="M5" s="8" t="n">
        <v>285</v>
      </c>
      <c r="N5" s="6" t="s">
        <v>22</v>
      </c>
      <c r="O5" s="4" t="s">
        <v>23</v>
      </c>
      <c r="P5" s="6" t="s">
        <v>24</v>
      </c>
      <c r="Q5" s="4" t="str">
        <f aca="false">IF(H5&gt;=F5,"Sudah Capai","Belum Capai")</f>
        <v>Sudah Capai</v>
      </c>
    </row>
    <row r="6" customFormat="false" ht="24" hidden="false" customHeight="true" outlineLevel="0" collapsed="false">
      <c r="A6" s="9" t="n">
        <v>2</v>
      </c>
      <c r="B6" s="10" t="n">
        <v>46235.625</v>
      </c>
      <c r="C6" s="10" t="n">
        <v>46239.8375</v>
      </c>
      <c r="D6" s="11" t="s">
        <v>25</v>
      </c>
      <c r="E6" s="11" t="s">
        <v>26</v>
      </c>
      <c r="F6" s="12" t="n">
        <v>350000</v>
      </c>
      <c r="G6" s="12" t="n">
        <f aca="false">H6+I6</f>
        <v>185500</v>
      </c>
      <c r="H6" s="12" t="n">
        <v>181790</v>
      </c>
      <c r="I6" s="12" t="n">
        <v>3710</v>
      </c>
      <c r="J6" s="12" t="n">
        <v>394</v>
      </c>
      <c r="K6" s="11" t="s">
        <v>21</v>
      </c>
      <c r="L6" s="13" t="n">
        <v>6650</v>
      </c>
      <c r="M6" s="13" t="n">
        <v>997.5</v>
      </c>
      <c r="N6" s="11" t="s">
        <v>27</v>
      </c>
      <c r="O6" s="9" t="s">
        <v>28</v>
      </c>
      <c r="P6" s="11" t="s">
        <v>29</v>
      </c>
      <c r="Q6" s="9" t="str">
        <f aca="false">IF(H6&gt;=F6,"Sudah Capai","Belum Capai")</f>
        <v>Belum Capai</v>
      </c>
    </row>
    <row r="7" customFormat="false" ht="24" hidden="false" customHeight="true" outlineLevel="0" collapsed="false">
      <c r="A7" s="4" t="n">
        <v>3</v>
      </c>
      <c r="B7" s="5" t="n">
        <v>46235.2916666667</v>
      </c>
      <c r="C7" s="5" t="n">
        <v>46249.61875</v>
      </c>
      <c r="D7" s="6" t="s">
        <v>30</v>
      </c>
      <c r="E7" s="6" t="s">
        <v>31</v>
      </c>
      <c r="F7" s="7" t="n">
        <v>800000</v>
      </c>
      <c r="G7" s="7" t="n">
        <f aca="false">H7+I7</f>
        <v>824000</v>
      </c>
      <c r="H7" s="7" t="n">
        <v>807520</v>
      </c>
      <c r="I7" s="7" t="n">
        <v>16480</v>
      </c>
      <c r="J7" s="7" t="n">
        <v>722</v>
      </c>
      <c r="K7" s="6" t="s">
        <v>32</v>
      </c>
      <c r="L7" s="8" t="n">
        <v>15200</v>
      </c>
      <c r="M7" s="8" t="n">
        <v>456</v>
      </c>
      <c r="N7" s="6" t="s">
        <v>33</v>
      </c>
      <c r="O7" s="4" t="s">
        <v>23</v>
      </c>
      <c r="P7" s="6" t="s">
        <v>24</v>
      </c>
      <c r="Q7" s="4" t="str">
        <f aca="false">IF(H7&gt;=F7,"Sudah Capai","Belum Capai")</f>
        <v>Sudah Capai</v>
      </c>
    </row>
    <row r="8" customFormat="false" ht="24" hidden="false" customHeight="true" outlineLevel="0" collapsed="false">
      <c r="A8" s="4" t="n">
        <v>4</v>
      </c>
      <c r="B8" s="5" t="n">
        <v>46235.625</v>
      </c>
      <c r="C8" s="5" t="n">
        <v>46248.8826388889</v>
      </c>
      <c r="D8" s="6" t="s">
        <v>34</v>
      </c>
      <c r="E8" s="6" t="s">
        <v>35</v>
      </c>
      <c r="F8" s="7" t="n">
        <v>750000</v>
      </c>
      <c r="G8" s="7" t="n">
        <f aca="false">H8+I8</f>
        <v>768938</v>
      </c>
      <c r="H8" s="7" t="n">
        <v>750000</v>
      </c>
      <c r="I8" s="7" t="n">
        <v>18938</v>
      </c>
      <c r="J8" s="7" t="n">
        <v>286</v>
      </c>
      <c r="K8" s="6" t="s">
        <v>32</v>
      </c>
      <c r="L8" s="8" t="n">
        <v>14250</v>
      </c>
      <c r="M8" s="8" t="n">
        <v>427.5</v>
      </c>
      <c r="N8" s="6" t="s">
        <v>36</v>
      </c>
      <c r="O8" s="4" t="s">
        <v>28</v>
      </c>
      <c r="P8" s="6" t="s">
        <v>29</v>
      </c>
      <c r="Q8" s="4" t="str">
        <f aca="false">IF(H8&gt;=F8,"Sudah Capai","Belum Capai")</f>
        <v>Sudah Capai</v>
      </c>
    </row>
    <row r="9" customFormat="false" ht="24" hidden="false" customHeight="true" outlineLevel="0" collapsed="false">
      <c r="A9" s="9" t="n">
        <v>5</v>
      </c>
      <c r="B9" s="10" t="n">
        <v>46235.9583333333</v>
      </c>
      <c r="C9" s="10" t="n">
        <v>46238.2541666667</v>
      </c>
      <c r="D9" s="11" t="s">
        <v>37</v>
      </c>
      <c r="E9" s="11" t="s">
        <v>38</v>
      </c>
      <c r="F9" s="12" t="n">
        <v>150000</v>
      </c>
      <c r="G9" s="12" t="n">
        <f aca="false">H9+I9</f>
        <v>115500</v>
      </c>
      <c r="H9" s="12" t="n">
        <v>113190</v>
      </c>
      <c r="I9" s="12" t="n">
        <v>2310</v>
      </c>
      <c r="J9" s="12" t="n">
        <v>165</v>
      </c>
      <c r="K9" s="11" t="s">
        <v>21</v>
      </c>
      <c r="L9" s="13" t="n">
        <v>2850</v>
      </c>
      <c r="M9" s="13" t="n">
        <v>427.5</v>
      </c>
      <c r="N9" s="11" t="s">
        <v>39</v>
      </c>
      <c r="O9" s="9" t="s">
        <v>40</v>
      </c>
      <c r="P9" s="11" t="s">
        <v>41</v>
      </c>
      <c r="Q9" s="9" t="str">
        <f aca="false">IF(H9&gt;=F9,"Sudah Capai","Belum Capai")</f>
        <v>Belum Capai</v>
      </c>
    </row>
    <row r="10" customFormat="false" ht="24" hidden="false" customHeight="true" outlineLevel="0" collapsed="false">
      <c r="A10" s="4" t="n">
        <v>6</v>
      </c>
      <c r="B10" s="5" t="n">
        <v>46235.9583333333</v>
      </c>
      <c r="C10" s="5" t="n">
        <v>46239.2069444444</v>
      </c>
      <c r="D10" s="6" t="s">
        <v>42</v>
      </c>
      <c r="E10" s="6" t="s">
        <v>43</v>
      </c>
      <c r="F10" s="7" t="n">
        <v>200000</v>
      </c>
      <c r="G10" s="7" t="n">
        <f aca="false">H10+I10</f>
        <v>206000</v>
      </c>
      <c r="H10" s="7" t="n">
        <v>202910</v>
      </c>
      <c r="I10" s="7" t="n">
        <v>3090</v>
      </c>
      <c r="J10" s="7" t="n">
        <v>164</v>
      </c>
      <c r="K10" s="6" t="s">
        <v>32</v>
      </c>
      <c r="L10" s="8" t="n">
        <v>3800</v>
      </c>
      <c r="M10" s="8" t="n">
        <v>114</v>
      </c>
      <c r="N10" s="6" t="s">
        <v>44</v>
      </c>
      <c r="O10" s="4" t="s">
        <v>40</v>
      </c>
      <c r="P10" s="6" t="s">
        <v>41</v>
      </c>
      <c r="Q10" s="4" t="str">
        <f aca="false">IF(H10&gt;=F10,"Sudah Capai","Belum Capai")</f>
        <v>Sudah Capai</v>
      </c>
    </row>
    <row r="11" customFormat="false" ht="24" hidden="false" customHeight="true" outlineLevel="0" collapsed="false">
      <c r="A11" s="9" t="n">
        <v>7</v>
      </c>
      <c r="B11" s="10" t="n">
        <v>46235.2916666667</v>
      </c>
      <c r="C11" s="10" t="n">
        <v>46240.5520833333</v>
      </c>
      <c r="D11" s="11" t="s">
        <v>45</v>
      </c>
      <c r="E11" s="11" t="s">
        <v>46</v>
      </c>
      <c r="F11" s="12" t="n">
        <v>600000</v>
      </c>
      <c r="G11" s="12" t="n">
        <f aca="false">H11+I11</f>
        <v>318000</v>
      </c>
      <c r="H11" s="12" t="n">
        <v>313230</v>
      </c>
      <c r="I11" s="12" t="n">
        <v>4770</v>
      </c>
      <c r="J11" s="12" t="n">
        <v>606</v>
      </c>
      <c r="K11" s="11" t="s">
        <v>32</v>
      </c>
      <c r="L11" s="13" t="n">
        <v>11400</v>
      </c>
      <c r="M11" s="13" t="n">
        <v>1710</v>
      </c>
      <c r="N11" s="11" t="s">
        <v>47</v>
      </c>
      <c r="O11" s="9" t="s">
        <v>23</v>
      </c>
      <c r="P11" s="11" t="s">
        <v>24</v>
      </c>
      <c r="Q11" s="9" t="str">
        <f aca="false">IF(H11&gt;=F11,"Sudah Capai","Belum Capai")</f>
        <v>Belum Capai</v>
      </c>
    </row>
    <row r="12" customFormat="false" ht="24" hidden="false" customHeight="true" outlineLevel="0" collapsed="false">
      <c r="A12" s="4" t="n">
        <v>8</v>
      </c>
      <c r="B12" s="5" t="n">
        <v>46251.2916666667</v>
      </c>
      <c r="C12" s="5" t="n">
        <v>46258.43125</v>
      </c>
      <c r="D12" s="6" t="s">
        <v>30</v>
      </c>
      <c r="E12" s="6" t="s">
        <v>48</v>
      </c>
      <c r="F12" s="7" t="n">
        <v>400000</v>
      </c>
      <c r="G12" s="7" t="n">
        <f aca="false">H12+I12</f>
        <v>410200</v>
      </c>
      <c r="H12" s="7" t="n">
        <v>400000</v>
      </c>
      <c r="I12" s="7" t="n">
        <v>10200</v>
      </c>
      <c r="J12" s="7" t="n">
        <v>257</v>
      </c>
      <c r="K12" s="6" t="s">
        <v>32</v>
      </c>
      <c r="L12" s="8" t="n">
        <v>7600</v>
      </c>
      <c r="M12" s="8" t="n">
        <v>228</v>
      </c>
      <c r="N12" s="6" t="s">
        <v>33</v>
      </c>
      <c r="O12" s="4" t="s">
        <v>23</v>
      </c>
      <c r="P12" s="6" t="s">
        <v>24</v>
      </c>
      <c r="Q12" s="4" t="str">
        <f aca="false">IF(H12&gt;=F12,"Sudah Capai","Belum Capai")</f>
        <v>Sudah Capai</v>
      </c>
    </row>
    <row r="13" customFormat="false" ht="24" hidden="false" customHeight="true" outlineLevel="0" collapsed="false">
      <c r="A13" s="4" t="n">
        <v>9</v>
      </c>
      <c r="B13" s="5" t="n">
        <v>46249.2916666667</v>
      </c>
      <c r="C13" s="5" t="n">
        <v>46255.4375</v>
      </c>
      <c r="D13" s="6" t="s">
        <v>19</v>
      </c>
      <c r="E13" s="6" t="s">
        <v>49</v>
      </c>
      <c r="F13" s="7" t="n">
        <v>250000</v>
      </c>
      <c r="G13" s="7" t="n">
        <f aca="false">H13+I13</f>
        <v>257500</v>
      </c>
      <c r="H13" s="7" t="n">
        <v>254925</v>
      </c>
      <c r="I13" s="7" t="n">
        <v>2575</v>
      </c>
      <c r="J13" s="7" t="n">
        <v>310</v>
      </c>
      <c r="K13" s="6" t="s">
        <v>21</v>
      </c>
      <c r="L13" s="8" t="n">
        <v>4750</v>
      </c>
      <c r="M13" s="8" t="n">
        <v>142.5</v>
      </c>
      <c r="N13" s="6" t="s">
        <v>22</v>
      </c>
      <c r="O13" s="4" t="s">
        <v>23</v>
      </c>
      <c r="P13" s="6" t="s">
        <v>24</v>
      </c>
      <c r="Q13" s="4" t="str">
        <f aca="false">IF(H13&gt;=F13,"Sudah Capai","Belum Capai")</f>
        <v>Sudah Capai</v>
      </c>
    </row>
    <row r="14" customFormat="false" ht="24" hidden="false" customHeight="true" outlineLevel="0" collapsed="false">
      <c r="A14" s="9" t="n">
        <v>10</v>
      </c>
      <c r="B14" s="10" t="n">
        <v>46241.625</v>
      </c>
      <c r="C14" s="10" t="n">
        <v>46244.7798611111</v>
      </c>
      <c r="D14" s="11" t="s">
        <v>25</v>
      </c>
      <c r="E14" s="11" t="s">
        <v>50</v>
      </c>
      <c r="F14" s="12" t="n">
        <v>180000</v>
      </c>
      <c r="G14" s="12" t="n">
        <f aca="false">H14+I14</f>
        <v>138600</v>
      </c>
      <c r="H14" s="12" t="n">
        <v>136521</v>
      </c>
      <c r="I14" s="12" t="n">
        <v>2079</v>
      </c>
      <c r="J14" s="12" t="n">
        <v>295</v>
      </c>
      <c r="K14" s="11" t="s">
        <v>21</v>
      </c>
      <c r="L14" s="13" t="n">
        <v>3420</v>
      </c>
      <c r="M14" s="13" t="n">
        <v>513</v>
      </c>
      <c r="N14" s="11" t="s">
        <v>27</v>
      </c>
      <c r="O14" s="9" t="s">
        <v>28</v>
      </c>
      <c r="P14" s="11" t="s">
        <v>29</v>
      </c>
      <c r="Q14" s="9" t="str">
        <f aca="false">IF(H14&gt;=F14,"Sudah Capai","Belum Capai")</f>
        <v>Belum Capai</v>
      </c>
    </row>
    <row r="15" customFormat="false" ht="24" hidden="false" customHeight="true" outlineLevel="0" collapsed="false">
      <c r="A15" s="4" t="n">
        <v>11</v>
      </c>
      <c r="B15" s="5" t="n">
        <v>46250.625</v>
      </c>
      <c r="C15" s="5" t="n">
        <v>46262.6430555556</v>
      </c>
      <c r="D15" s="6" t="s">
        <v>34</v>
      </c>
      <c r="E15" s="6" t="s">
        <v>51</v>
      </c>
      <c r="F15" s="7" t="n">
        <v>650000</v>
      </c>
      <c r="G15" s="7" t="n">
        <f aca="false">H15+I15</f>
        <v>663260</v>
      </c>
      <c r="H15" s="7" t="n">
        <v>650000</v>
      </c>
      <c r="I15" s="7" t="n">
        <v>13260</v>
      </c>
      <c r="J15" s="7" t="n">
        <v>433</v>
      </c>
      <c r="K15" s="6" t="s">
        <v>32</v>
      </c>
      <c r="L15" s="8" t="n">
        <v>12350</v>
      </c>
      <c r="M15" s="8" t="n">
        <v>370.5</v>
      </c>
      <c r="N15" s="6" t="s">
        <v>36</v>
      </c>
      <c r="O15" s="4" t="s">
        <v>28</v>
      </c>
      <c r="P15" s="6" t="s">
        <v>29</v>
      </c>
      <c r="Q15" s="4" t="str">
        <f aca="false">IF(H15&gt;=F15,"Sudah Capai","Belum Capai")</f>
        <v>Sudah Capai</v>
      </c>
    </row>
    <row r="16" customFormat="false" ht="24" hidden="false" customHeight="true" outlineLevel="0" collapsed="false">
      <c r="A16" s="9" t="n">
        <v>12</v>
      </c>
      <c r="B16" s="10" t="n">
        <v>46240.9583333333</v>
      </c>
      <c r="C16" s="10" t="n">
        <v>46245.0701388889</v>
      </c>
      <c r="D16" s="11" t="s">
        <v>42</v>
      </c>
      <c r="E16" s="11" t="s">
        <v>52</v>
      </c>
      <c r="F16" s="12" t="n">
        <v>450000</v>
      </c>
      <c r="G16" s="12" t="n">
        <f aca="false">H16+I16</f>
        <v>238500</v>
      </c>
      <c r="H16" s="12" t="n">
        <v>232538</v>
      </c>
      <c r="I16" s="12" t="n">
        <v>5962</v>
      </c>
      <c r="J16" s="12" t="n">
        <v>562</v>
      </c>
      <c r="K16" s="11" t="s">
        <v>32</v>
      </c>
      <c r="L16" s="13" t="n">
        <v>8550</v>
      </c>
      <c r="M16" s="13" t="n">
        <v>1282.5</v>
      </c>
      <c r="N16" s="11" t="s">
        <v>44</v>
      </c>
      <c r="O16" s="9" t="s">
        <v>40</v>
      </c>
      <c r="P16" s="11" t="s">
        <v>41</v>
      </c>
      <c r="Q16" s="9" t="str">
        <f aca="false">IF(H16&gt;=F16,"Sudah Capai","Belum Capai")</f>
        <v>Belum Capai</v>
      </c>
    </row>
    <row r="17" customFormat="false" ht="24" hidden="false" customHeight="true" outlineLevel="0" collapsed="false">
      <c r="A17" s="4" t="n">
        <v>13</v>
      </c>
      <c r="B17" s="5" t="n">
        <v>46242.2916666667</v>
      </c>
      <c r="C17" s="5" t="n">
        <v>46247.4611111111</v>
      </c>
      <c r="D17" s="6" t="s">
        <v>45</v>
      </c>
      <c r="E17" s="6" t="s">
        <v>53</v>
      </c>
      <c r="F17" s="7" t="n">
        <v>300000</v>
      </c>
      <c r="G17" s="7" t="n">
        <f aca="false">H17+I17</f>
        <v>303030</v>
      </c>
      <c r="H17" s="7" t="n">
        <v>300000</v>
      </c>
      <c r="I17" s="7" t="n">
        <v>3030</v>
      </c>
      <c r="J17" s="7" t="n">
        <v>112</v>
      </c>
      <c r="K17" s="6" t="s">
        <v>32</v>
      </c>
      <c r="L17" s="8" t="n">
        <v>5700</v>
      </c>
      <c r="M17" s="8" t="n">
        <v>171</v>
      </c>
      <c r="N17" s="6" t="s">
        <v>47</v>
      </c>
      <c r="O17" s="4" t="s">
        <v>23</v>
      </c>
      <c r="P17" s="6" t="s">
        <v>24</v>
      </c>
      <c r="Q17" s="4" t="str">
        <f aca="false">IF(H17&gt;=F17,"Sudah Capai","Belum Capai")</f>
        <v>Sudah Capai</v>
      </c>
    </row>
    <row r="18" customFormat="false" ht="24" hidden="false" customHeight="true" outlineLevel="0" collapsed="false">
      <c r="A18" s="4" t="n">
        <v>14</v>
      </c>
      <c r="B18" s="5" t="n">
        <v>46239.9583333333</v>
      </c>
      <c r="C18" s="5" t="n">
        <v>46245.1618055556</v>
      </c>
      <c r="D18" s="6" t="s">
        <v>37</v>
      </c>
      <c r="E18" s="6" t="s">
        <v>54</v>
      </c>
      <c r="F18" s="7" t="n">
        <v>220000</v>
      </c>
      <c r="G18" s="7" t="n">
        <f aca="false">H18+I18</f>
        <v>224400</v>
      </c>
      <c r="H18" s="7" t="n">
        <v>221034</v>
      </c>
      <c r="I18" s="7" t="n">
        <v>3366</v>
      </c>
      <c r="J18" s="7" t="n">
        <v>187</v>
      </c>
      <c r="K18" s="6" t="s">
        <v>21</v>
      </c>
      <c r="L18" s="8" t="n">
        <v>4180</v>
      </c>
      <c r="M18" s="8" t="n">
        <v>125.4</v>
      </c>
      <c r="N18" s="6" t="s">
        <v>39</v>
      </c>
      <c r="O18" s="4" t="s">
        <v>40</v>
      </c>
      <c r="P18" s="6" t="s">
        <v>41</v>
      </c>
      <c r="Q18" s="4" t="str">
        <f aca="false">IF(H18&gt;=F18,"Sudah Capai","Belum Capai")</f>
        <v>Sudah Capai</v>
      </c>
    </row>
    <row r="19" customFormat="false" ht="24" hidden="false" customHeight="true" outlineLevel="0" collapsed="false">
      <c r="A19" s="9" t="n">
        <v>15</v>
      </c>
      <c r="B19" s="10" t="n">
        <v>46257.2916666667</v>
      </c>
      <c r="C19" s="10" t="n">
        <v>46262.4215277778</v>
      </c>
      <c r="D19" s="11" t="s">
        <v>19</v>
      </c>
      <c r="E19" s="11" t="s">
        <v>55</v>
      </c>
      <c r="F19" s="12" t="n">
        <v>280000</v>
      </c>
      <c r="G19" s="12" t="n">
        <f aca="false">H19+I19</f>
        <v>215600</v>
      </c>
      <c r="H19" s="12" t="n">
        <v>210210</v>
      </c>
      <c r="I19" s="12" t="n">
        <v>5390</v>
      </c>
      <c r="J19" s="12" t="n">
        <v>591</v>
      </c>
      <c r="K19" s="11" t="s">
        <v>21</v>
      </c>
      <c r="L19" s="13" t="n">
        <v>5320</v>
      </c>
      <c r="M19" s="13" t="n">
        <v>798</v>
      </c>
      <c r="N19" s="11" t="s">
        <v>22</v>
      </c>
      <c r="O19" s="9" t="s">
        <v>23</v>
      </c>
      <c r="P19" s="11" t="s">
        <v>24</v>
      </c>
      <c r="Q19" s="9" t="str">
        <f aca="false">IF(H19&gt;=F19,"Sudah Capai","Belum Capai")</f>
        <v>Belum Capai</v>
      </c>
    </row>
    <row r="20" customFormat="false" ht="24" hidden="false" customHeight="true" outlineLevel="0" collapsed="false">
      <c r="A20" s="4" t="n">
        <v>16</v>
      </c>
      <c r="B20" s="5" t="n">
        <v>46260.2916666667</v>
      </c>
      <c r="C20" s="5" t="n">
        <v>46269.3520833333</v>
      </c>
      <c r="D20" s="6" t="s">
        <v>30</v>
      </c>
      <c r="E20" s="6" t="s">
        <v>56</v>
      </c>
      <c r="F20" s="7" t="n">
        <v>500000</v>
      </c>
      <c r="G20" s="7" t="n">
        <f aca="false">H20+I20</f>
        <v>512625</v>
      </c>
      <c r="H20" s="7" t="n">
        <v>500000</v>
      </c>
      <c r="I20" s="7" t="n">
        <v>12625</v>
      </c>
      <c r="J20" s="7" t="n">
        <v>196</v>
      </c>
      <c r="K20" s="6" t="s">
        <v>32</v>
      </c>
      <c r="L20" s="8" t="n">
        <v>9500</v>
      </c>
      <c r="M20" s="8" t="n">
        <v>285</v>
      </c>
      <c r="N20" s="6" t="s">
        <v>33</v>
      </c>
      <c r="O20" s="4" t="s">
        <v>23</v>
      </c>
      <c r="P20" s="6" t="s">
        <v>24</v>
      </c>
      <c r="Q20" s="4" t="str">
        <f aca="false">IF(H20&gt;=F20,"Sudah Capai","Belum Capai")</f>
        <v>Sudah Capai</v>
      </c>
    </row>
    <row r="21" customFormat="false" ht="24" hidden="false" customHeight="true" outlineLevel="0" collapsed="false">
      <c r="A21" s="4" t="n">
        <v>17</v>
      </c>
      <c r="B21" s="5" t="n">
        <v>46246.625</v>
      </c>
      <c r="C21" s="5" t="n">
        <v>46256.6916666667</v>
      </c>
      <c r="D21" s="6" t="s">
        <v>25</v>
      </c>
      <c r="E21" s="6" t="s">
        <v>57</v>
      </c>
      <c r="F21" s="7" t="n">
        <v>400000</v>
      </c>
      <c r="G21" s="7" t="n">
        <f aca="false">H21+I21</f>
        <v>408000</v>
      </c>
      <c r="H21" s="7" t="n">
        <v>403920</v>
      </c>
      <c r="I21" s="7" t="n">
        <v>4080</v>
      </c>
      <c r="J21" s="7" t="n">
        <v>362</v>
      </c>
      <c r="K21" s="6" t="s">
        <v>21</v>
      </c>
      <c r="L21" s="8" t="n">
        <v>7600</v>
      </c>
      <c r="M21" s="8" t="n">
        <v>228</v>
      </c>
      <c r="N21" s="6" t="s">
        <v>27</v>
      </c>
      <c r="O21" s="4" t="s">
        <v>28</v>
      </c>
      <c r="P21" s="6" t="s">
        <v>29</v>
      </c>
      <c r="Q21" s="4" t="str">
        <f aca="false">IF(H21&gt;=F21,"Sudah Capai","Belum Capai")</f>
        <v>Sudah Capai</v>
      </c>
    </row>
    <row r="22" customFormat="false" ht="24" hidden="false" customHeight="true" outlineLevel="0" collapsed="false">
      <c r="A22" s="9" t="n">
        <v>18</v>
      </c>
      <c r="B22" s="10" t="n">
        <v>46246.9583333333</v>
      </c>
      <c r="C22" s="10" t="n">
        <v>46251.2513888889</v>
      </c>
      <c r="D22" s="11" t="s">
        <v>37</v>
      </c>
      <c r="E22" s="11" t="s">
        <v>58</v>
      </c>
      <c r="F22" s="12" t="n">
        <v>320000</v>
      </c>
      <c r="G22" s="12" t="n">
        <f aca="false">H22+I22</f>
        <v>195200</v>
      </c>
      <c r="H22" s="12" t="n">
        <v>190320</v>
      </c>
      <c r="I22" s="12" t="n">
        <v>4880</v>
      </c>
      <c r="J22" s="12" t="n">
        <v>402</v>
      </c>
      <c r="K22" s="11" t="s">
        <v>21</v>
      </c>
      <c r="L22" s="13" t="n">
        <v>6080</v>
      </c>
      <c r="M22" s="13" t="n">
        <v>912</v>
      </c>
      <c r="N22" s="11" t="s">
        <v>39</v>
      </c>
      <c r="O22" s="9" t="s">
        <v>40</v>
      </c>
      <c r="P22" s="11" t="s">
        <v>41</v>
      </c>
      <c r="Q22" s="9" t="str">
        <f aca="false">IF(H22&gt;=F22,"Sudah Capai","Belum Capai")</f>
        <v>Belum Capai</v>
      </c>
    </row>
    <row r="23" customFormat="false" ht="24" hidden="false" customHeight="true" outlineLevel="0" collapsed="false">
      <c r="A23" s="4" t="n">
        <v>19</v>
      </c>
      <c r="B23" s="5" t="n">
        <v>46264.2916666667</v>
      </c>
      <c r="C23" s="5" t="n">
        <v>46279.3416666667</v>
      </c>
      <c r="D23" s="6" t="s">
        <v>19</v>
      </c>
      <c r="E23" s="6" t="s">
        <v>59</v>
      </c>
      <c r="F23" s="7" t="n">
        <v>600000</v>
      </c>
      <c r="G23" s="7" t="n">
        <f aca="false">H23+I23</f>
        <v>612120</v>
      </c>
      <c r="H23" s="7" t="n">
        <v>600000</v>
      </c>
      <c r="I23" s="7" t="n">
        <v>12120</v>
      </c>
      <c r="J23" s="7" t="n">
        <v>325</v>
      </c>
      <c r="K23" s="6" t="s">
        <v>21</v>
      </c>
      <c r="L23" s="8" t="n">
        <v>11400</v>
      </c>
      <c r="M23" s="8" t="n">
        <v>342</v>
      </c>
      <c r="N23" s="6" t="s">
        <v>22</v>
      </c>
      <c r="O23" s="4" t="s">
        <v>23</v>
      </c>
      <c r="P23" s="6" t="s">
        <v>24</v>
      </c>
      <c r="Q23" s="4" t="str">
        <f aca="false">IF(H23&gt;=F23,"Sudah Capai","Belum Capai")</f>
        <v>Sudah Capai</v>
      </c>
    </row>
    <row r="24" customFormat="false" ht="24" hidden="false" customHeight="true" outlineLevel="0" collapsed="false">
      <c r="A24" s="9" t="n">
        <v>20</v>
      </c>
      <c r="B24" s="10" t="n">
        <v>46264.625</v>
      </c>
      <c r="C24" s="10" t="n">
        <v>46269.7319444444</v>
      </c>
      <c r="D24" s="11" t="s">
        <v>34</v>
      </c>
      <c r="E24" s="11" t="s">
        <v>60</v>
      </c>
      <c r="F24" s="12" t="n">
        <v>380000</v>
      </c>
      <c r="G24" s="12" t="n">
        <f aca="false">H24+I24</f>
        <v>292600</v>
      </c>
      <c r="H24" s="12" t="n">
        <v>286748</v>
      </c>
      <c r="I24" s="12" t="n">
        <v>5852</v>
      </c>
      <c r="J24" s="12" t="n">
        <v>699</v>
      </c>
      <c r="K24" s="11" t="s">
        <v>32</v>
      </c>
      <c r="L24" s="13" t="n">
        <v>7220</v>
      </c>
      <c r="M24" s="13" t="n">
        <v>1083</v>
      </c>
      <c r="N24" s="11" t="s">
        <v>36</v>
      </c>
      <c r="O24" s="9" t="s">
        <v>28</v>
      </c>
      <c r="P24" s="11" t="s">
        <v>29</v>
      </c>
      <c r="Q24" s="9" t="str">
        <f aca="false">IF(H24&gt;=F24,"Sudah Capai","Belum Capai")</f>
        <v>Belum Capai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2026-08-06T04:47:57Z</dcterms:created>
  <dc:creator>openpyxl</dc:creator>
  <dc:description/>
  <dc:language>en-US</dc:language>
  <cp:lastModifiedBy/>
  <dcterms:modified xsi:type="dcterms:W3CDTF">2026-08-06T04:47:57Z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